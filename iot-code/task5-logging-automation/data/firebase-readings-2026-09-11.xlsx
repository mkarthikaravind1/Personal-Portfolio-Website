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 hh:mm:ss AM/PM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EF2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0" fillId="4" borderId="1" pivotButton="0" quotePrefix="0" xfId="0"/>
    <xf numFmtId="166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5" customWidth="1" min="5" max="5"/>
    <col width="9" customWidth="1" min="6" max="6"/>
    <col width="13" customWidth="1" min="7" max="7"/>
  </cols>
  <sheetData>
    <row r="1">
      <c r="A1" s="1" t="inlineStr">
        <is>
          <t>IoT Dashboard: Sensor Readings Log</t>
        </is>
      </c>
    </row>
    <row r="2">
      <c r="A2" s="2" t="inlineStr">
        <is>
          <t>Source: Cloud Firestore, project iot-dashboard-karthik, collection `readings`, transcribed from Firebase console screenshots. Logged by the ESP32 every 3 minutes.</t>
        </is>
      </c>
    </row>
    <row r="4">
      <c r="A4" s="3" t="inlineStr">
        <is>
          <t>Document ID</t>
        </is>
      </c>
      <c r="B4" s="3" t="inlineStr">
        <is>
          <t>Timestamp (IST)</t>
        </is>
      </c>
      <c r="C4" s="3" t="inlineStr">
        <is>
          <t>Temperature (°C)</t>
        </is>
      </c>
      <c r="D4" s="3" t="inlineStr">
        <is>
          <t>Humidity (%)</t>
        </is>
      </c>
      <c r="E4" s="3" t="inlineStr">
        <is>
          <t>LDR (0–4095)</t>
        </is>
      </c>
      <c r="F4" s="3" t="inlineStr">
        <is>
          <t>Bulb</t>
        </is>
      </c>
      <c r="G4" s="3" t="inlineStr">
        <is>
          <t>Mode</t>
        </is>
      </c>
    </row>
    <row r="5">
      <c r="A5" s="4" t="inlineStr">
        <is>
          <t>sep11_1745</t>
        </is>
      </c>
      <c r="B5" s="5" t="n">
        <v>46276.73964120371</v>
      </c>
      <c r="C5" s="6" t="n">
        <v>25</v>
      </c>
      <c r="D5" s="6" t="n">
        <v>64</v>
      </c>
      <c r="E5" s="6" t="n">
        <v>420</v>
      </c>
      <c r="F5" s="6" t="inlineStr">
        <is>
          <t>ON</t>
        </is>
      </c>
      <c r="G5" s="6" t="inlineStr">
        <is>
          <t>automatic</t>
        </is>
      </c>
    </row>
    <row r="6">
      <c r="A6" s="7" t="inlineStr">
        <is>
          <t>sep11_1748</t>
        </is>
      </c>
      <c r="B6" s="8" t="n">
        <v>46276.74181712963</v>
      </c>
      <c r="C6" s="9" t="n">
        <v>25</v>
      </c>
      <c r="D6" s="9" t="n">
        <v>65</v>
      </c>
      <c r="E6" s="9" t="n">
        <v>418</v>
      </c>
      <c r="F6" s="9" t="inlineStr">
        <is>
          <t>ON</t>
        </is>
      </c>
      <c r="G6" s="9" t="inlineStr">
        <is>
          <t>automatic</t>
        </is>
      </c>
    </row>
    <row r="7">
      <c r="A7" s="4" t="inlineStr">
        <is>
          <t>sep11_1751</t>
        </is>
      </c>
      <c r="B7" s="5" t="n">
        <v>46276.7440625</v>
      </c>
      <c r="C7" s="6" t="n">
        <v>24</v>
      </c>
      <c r="D7" s="6" t="n">
        <v>63</v>
      </c>
      <c r="E7" s="6" t="n">
        <v>421</v>
      </c>
      <c r="F7" s="6" t="inlineStr">
        <is>
          <t>ON</t>
        </is>
      </c>
      <c r="G7" s="6" t="inlineStr">
        <is>
          <t>automatic</t>
        </is>
      </c>
    </row>
    <row r="8">
      <c r="A8" s="7" t="inlineStr">
        <is>
          <t>sep11_1754</t>
        </is>
      </c>
      <c r="B8" s="8" t="n">
        <v>46276.7462962963</v>
      </c>
      <c r="C8" s="9" t="n">
        <v>24</v>
      </c>
      <c r="D8" s="9" t="n">
        <v>53</v>
      </c>
      <c r="E8" s="9" t="n">
        <v>419</v>
      </c>
      <c r="F8" s="9" t="inlineStr">
        <is>
          <t>ON</t>
        </is>
      </c>
      <c r="G8" s="9" t="inlineStr">
        <is>
          <t>automatic</t>
        </is>
      </c>
    </row>
    <row r="9">
      <c r="A9" s="4" t="inlineStr">
        <is>
          <t>sep11_1757</t>
        </is>
      </c>
      <c r="B9" s="5" t="n">
        <v>46276.74831018518</v>
      </c>
      <c r="C9" s="6" t="n">
        <v>24</v>
      </c>
      <c r="D9" s="6" t="n">
        <v>52</v>
      </c>
      <c r="E9" s="6" t="n">
        <v>423</v>
      </c>
      <c r="F9" s="6" t="inlineStr">
        <is>
          <t>ON</t>
        </is>
      </c>
      <c r="G9" s="6" t="inlineStr">
        <is>
          <t>automatic</t>
        </is>
      </c>
    </row>
    <row r="10">
      <c r="A10" s="7" t="inlineStr">
        <is>
          <t>sep11_1800</t>
        </is>
      </c>
      <c r="B10" s="8" t="n">
        <v>46276.75064814815</v>
      </c>
      <c r="C10" s="9" t="n">
        <v>23</v>
      </c>
      <c r="D10" s="9" t="n">
        <v>32</v>
      </c>
      <c r="E10" s="9" t="n">
        <v>425</v>
      </c>
      <c r="F10" s="9" t="inlineStr">
        <is>
          <t>ON</t>
        </is>
      </c>
      <c r="G10" s="9" t="inlineStr">
        <is>
          <t>automatic</t>
        </is>
      </c>
    </row>
    <row r="11">
      <c r="A11" s="4" t="inlineStr">
        <is>
          <t>sep11_1803</t>
        </is>
      </c>
      <c r="B11" s="5" t="n">
        <v>46276.75222222223</v>
      </c>
      <c r="C11" s="6" t="n">
        <v>23</v>
      </c>
      <c r="D11" s="6" t="n">
        <v>34</v>
      </c>
      <c r="E11" s="6" t="n">
        <v>422</v>
      </c>
      <c r="F11" s="6" t="inlineStr">
        <is>
          <t>ON</t>
        </is>
      </c>
      <c r="G11" s="6" t="inlineStr">
        <is>
          <t>automatic</t>
        </is>
      </c>
    </row>
    <row r="12">
      <c r="A12" s="7" t="inlineStr">
        <is>
          <t>sep11_1806</t>
        </is>
      </c>
      <c r="B12" s="8" t="n">
        <v>46276.75444444444</v>
      </c>
      <c r="C12" s="9" t="n">
        <v>24</v>
      </c>
      <c r="D12" s="9" t="n">
        <v>53</v>
      </c>
      <c r="E12" s="9" t="n">
        <v>427</v>
      </c>
      <c r="F12" s="9" t="inlineStr">
        <is>
          <t>ON</t>
        </is>
      </c>
      <c r="G12" s="9" t="inlineStr">
        <is>
          <t>automatic</t>
        </is>
      </c>
    </row>
    <row r="13">
      <c r="A13" s="4" t="inlineStr">
        <is>
          <t>sep11_1809</t>
        </is>
      </c>
      <c r="B13" s="5" t="n">
        <v>46276.75681712963</v>
      </c>
      <c r="C13" s="6" t="n">
        <v>24</v>
      </c>
      <c r="D13" s="6" t="n">
        <v>64</v>
      </c>
      <c r="E13" s="6" t="n">
        <v>424</v>
      </c>
      <c r="F13" s="6" t="inlineStr">
        <is>
          <t>ON</t>
        </is>
      </c>
      <c r="G13" s="6" t="inlineStr">
        <is>
          <t>automatic</t>
        </is>
      </c>
    </row>
    <row r="14">
      <c r="A14" s="7" t="inlineStr">
        <is>
          <t>sep11_1812</t>
        </is>
      </c>
      <c r="B14" s="8" t="n">
        <v>46276.75894675926</v>
      </c>
      <c r="C14" s="9" t="n">
        <v>25</v>
      </c>
      <c r="D14" s="9" t="n">
        <v>65</v>
      </c>
      <c r="E14" s="9" t="n">
        <v>420</v>
      </c>
      <c r="F14" s="9" t="inlineStr">
        <is>
          <t>ON</t>
        </is>
      </c>
      <c r="G14" s="9" t="inlineStr">
        <is>
          <t>automatic</t>
        </is>
      </c>
    </row>
    <row r="16">
      <c r="A16" s="10" t="inlineStr">
        <is>
          <t>Average</t>
        </is>
      </c>
      <c r="B16" s="11" t="n"/>
      <c r="C16" s="12">
        <f>AVERAGE(C5:C14)</f>
        <v/>
      </c>
      <c r="D16" s="12">
        <f>AVERAGE(D5:D14)</f>
        <v/>
      </c>
      <c r="E16" s="12">
        <f>AVERAGE(E5:E14)</f>
        <v/>
      </c>
      <c r="F16" s="11" t="n"/>
      <c r="G16" s="11" t="n"/>
    </row>
    <row r="17">
      <c r="A17" s="10" t="inlineStr">
        <is>
          <t>Minimum</t>
        </is>
      </c>
      <c r="B17" s="11" t="n"/>
      <c r="C17" s="13">
        <f>MIN(C5:C14)</f>
        <v/>
      </c>
      <c r="D17" s="13">
        <f>MIN(D5:D14)</f>
        <v/>
      </c>
      <c r="E17" s="13">
        <f>MIN(E5:E14)</f>
        <v/>
      </c>
      <c r="F17" s="11" t="n"/>
      <c r="G17" s="11" t="n"/>
    </row>
    <row r="18">
      <c r="A18" s="10" t="inlineStr">
        <is>
          <t>Maximum</t>
        </is>
      </c>
      <c r="B18" s="11" t="n"/>
      <c r="C18" s="13">
        <f>MAX(C5:C14)</f>
        <v/>
      </c>
      <c r="D18" s="13">
        <f>MAX(D5:D14)</f>
        <v/>
      </c>
      <c r="E18" s="13">
        <f>MAX(E5:E14)</f>
        <v/>
      </c>
      <c r="F18" s="11" t="n"/>
      <c r="G18" s="11" t="n"/>
    </row>
    <row r="19">
      <c r="A19" s="14" t="inlineStr">
        <is>
          <t>Readings</t>
        </is>
      </c>
      <c r="C19" s="15">
        <f>COUNTA(A5:A14)</f>
        <v/>
      </c>
    </row>
    <row r="20">
      <c r="A20" s="14" t="inlineStr">
        <is>
          <t>Bulb ON in automatic mode</t>
        </is>
      </c>
      <c r="C20" s="15">
        <f>COUNTIFS(F5:F14,"ON",G5:G14,"automatic")</f>
        <v/>
      </c>
    </row>
    <row r="21">
      <c r="A21" s="2" t="inlineStr">
        <is>
          <t>Every LDR value is below the dark limit (threshold 500 − 50 = 450), so the bulb stays ON in automatic mode.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2026-10-30T08:30:40Z</dcterms:created>
  <dcterms:modified xmlns:dcterms="http://purl.org/dc/terms/" xmlns:xsi="http://www.w3.org/2001/XMLSchema-instance" xsi:type="dcterms:W3CDTF">2026-10-30T08:30:40Z</dcterms:modified>
</cp:coreProperties>
</file>